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ssignments\"/>
    </mc:Choice>
  </mc:AlternateContent>
  <xr:revisionPtr revIDLastSave="0" documentId="13_ncr:1_{BE2D0BF2-834E-45AF-A1F0-20553DB726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1" l="1"/>
  <c r="N18" i="1"/>
  <c r="O17" i="1"/>
  <c r="N17" i="1"/>
  <c r="O16" i="1"/>
  <c r="N16" i="1"/>
  <c r="O15" i="1"/>
  <c r="N15" i="1"/>
  <c r="O14" i="1"/>
  <c r="N14" i="1"/>
  <c r="F27" i="1"/>
  <c r="E27" i="1"/>
  <c r="C26" i="1"/>
  <c r="C25" i="1"/>
  <c r="C24" i="1"/>
  <c r="C23" i="1"/>
  <c r="U22" i="1"/>
  <c r="T22" i="1"/>
  <c r="S22" i="1"/>
  <c r="C22" i="1"/>
  <c r="J21" i="1"/>
  <c r="I21" i="1"/>
  <c r="C21" i="1"/>
  <c r="J20" i="1"/>
  <c r="I20" i="1"/>
  <c r="C20" i="1"/>
  <c r="J19" i="1"/>
  <c r="I19" i="1"/>
  <c r="C19" i="1"/>
  <c r="J18" i="1"/>
  <c r="I18" i="1"/>
  <c r="C18" i="1"/>
  <c r="J17" i="1"/>
  <c r="I17" i="1"/>
  <c r="C17" i="1"/>
  <c r="I16" i="1"/>
  <c r="C16" i="1"/>
  <c r="C15" i="1"/>
  <c r="C14" i="1"/>
  <c r="C13" i="1"/>
  <c r="C12" i="1"/>
  <c r="C11" i="1"/>
  <c r="C10" i="1"/>
  <c r="C9" i="1"/>
  <c r="P7" i="1"/>
  <c r="C8" i="1"/>
  <c r="P6" i="1"/>
  <c r="C7" i="1"/>
  <c r="P5" i="1"/>
  <c r="C6" i="1"/>
  <c r="P4" i="1"/>
  <c r="C5" i="1"/>
  <c r="P3" i="1"/>
  <c r="C4" i="1"/>
  <c r="C3" i="1"/>
</calcChain>
</file>

<file path=xl/sharedStrings.xml><?xml version="1.0" encoding="utf-8"?>
<sst xmlns="http://schemas.openxmlformats.org/spreadsheetml/2006/main" count="73" uniqueCount="26">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</sst>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0" fontId="8" fillId="0" borderId="1" xfId="0" applyFont="1" applyBorder="1"/>
    <xf numFmtId="0" fontId="9" fillId="4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1" fillId="0" borderId="1" xfId="1" applyFont="1" applyFill="1" applyBorder="1" applyAlignment="1"/>
    <xf numFmtId="164" fontId="6" fillId="0" borderId="1" xfId="1" applyFont="1" applyBorder="1"/>
    <xf numFmtId="0" fontId="3" fillId="3" borderId="1" xfId="0" applyFont="1" applyFill="1" applyBorder="1"/>
    <xf numFmtId="164" fontId="0" fillId="0" borderId="1" xfId="1" applyFont="1" applyBorder="1"/>
    <xf numFmtId="165" fontId="1" fillId="0" borderId="1" xfId="1" applyNumberFormat="1" applyFont="1" applyFill="1" applyBorder="1" applyAlignment="1"/>
    <xf numFmtId="0" fontId="10" fillId="0" borderId="1" xfId="0" applyFont="1" applyBorder="1"/>
    <xf numFmtId="14" fontId="11" fillId="0" borderId="1" xfId="1" applyNumberFormat="1" applyFont="1" applyFill="1" applyBorder="1"/>
    <xf numFmtId="4" fontId="10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65" fontId="3" fillId="0" borderId="1" xfId="0" applyNumberFormat="1" applyFont="1" applyBorder="1"/>
    <xf numFmtId="4" fontId="3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showFormulas="1" tabSelected="1" topLeftCell="H1" zoomScale="57" zoomScaleNormal="57" workbookViewId="0">
      <selection activeCell="P29" sqref="P29"/>
    </sheetView>
  </sheetViews>
  <sheetFormatPr defaultRowHeight="14.5" x14ac:dyDescent="0.35"/>
  <cols>
    <col min="1" max="1" width="7.7265625" bestFit="1" customWidth="1"/>
    <col min="2" max="2" width="9.1796875" bestFit="1" customWidth="1"/>
    <col min="3" max="3" width="9" bestFit="1" customWidth="1"/>
    <col min="4" max="4" width="14.1796875" bestFit="1" customWidth="1"/>
    <col min="5" max="5" width="18.7265625" bestFit="1" customWidth="1"/>
    <col min="6" max="6" width="12.36328125" bestFit="1" customWidth="1"/>
    <col min="8" max="8" width="10.1796875" bestFit="1" customWidth="1"/>
    <col min="9" max="10" width="10.54296875" bestFit="1" customWidth="1"/>
    <col min="11" max="11" width="10.6328125" bestFit="1" customWidth="1"/>
    <col min="12" max="12" width="6.453125" bestFit="1" customWidth="1"/>
    <col min="13" max="13" width="9.7265625" bestFit="1" customWidth="1"/>
    <col min="14" max="14" width="9" bestFit="1" customWidth="1"/>
    <col min="15" max="15" width="10.54296875" bestFit="1" customWidth="1"/>
    <col min="16" max="16" width="9" bestFit="1" customWidth="1"/>
    <col min="18" max="18" width="9.6328125" bestFit="1" customWidth="1"/>
    <col min="19" max="21" width="5.54296875" bestFit="1" customWidth="1"/>
  </cols>
  <sheetData>
    <row r="1" spans="1:21" ht="25" x14ac:dyDescent="0.5">
      <c r="A1" s="29" t="s">
        <v>0</v>
      </c>
      <c r="B1" s="29"/>
      <c r="C1" s="29"/>
      <c r="D1" s="29"/>
      <c r="E1" s="29"/>
      <c r="F1" s="29"/>
    </row>
    <row r="2" spans="1:21" ht="17.5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N2" s="8"/>
      <c r="O2" s="8" t="s">
        <v>9</v>
      </c>
      <c r="P2" s="8" t="s">
        <v>10</v>
      </c>
    </row>
    <row r="3" spans="1:21" ht="15.5" x14ac:dyDescent="0.35">
      <c r="A3" s="4">
        <v>1</v>
      </c>
      <c r="B3" s="5">
        <v>40221</v>
      </c>
      <c r="C3" s="5" t="str">
        <f t="shared" ref="C3:C26" si="0">TEXT(B3,"YYYY")</f>
        <v>2010</v>
      </c>
      <c r="D3" s="4" t="s">
        <v>7</v>
      </c>
      <c r="E3" s="4">
        <v>76</v>
      </c>
      <c r="F3" s="6">
        <v>16720</v>
      </c>
      <c r="G3" s="1"/>
      <c r="H3" s="7"/>
      <c r="I3" s="28" t="s">
        <v>24</v>
      </c>
      <c r="J3" s="28"/>
      <c r="K3" s="28"/>
      <c r="N3" s="24" t="s">
        <v>12</v>
      </c>
      <c r="O3" s="10" t="s">
        <v>13</v>
      </c>
      <c r="P3" s="10">
        <f>COUNTIF(D3:D26,O3)</f>
        <v>6</v>
      </c>
    </row>
    <row r="4" spans="1:21" x14ac:dyDescent="0.35">
      <c r="A4" s="4">
        <v>2</v>
      </c>
      <c r="B4" s="5">
        <v>40235</v>
      </c>
      <c r="C4" s="5" t="str">
        <f t="shared" si="0"/>
        <v>2010</v>
      </c>
      <c r="D4" s="4" t="s">
        <v>11</v>
      </c>
      <c r="E4" s="4">
        <v>59</v>
      </c>
      <c r="F4" s="6">
        <v>12980</v>
      </c>
      <c r="G4" s="2"/>
      <c r="H4" s="9" t="s">
        <v>4</v>
      </c>
      <c r="I4" s="10">
        <v>2010</v>
      </c>
      <c r="J4" s="10">
        <v>2011</v>
      </c>
      <c r="K4" s="10">
        <v>2012</v>
      </c>
      <c r="N4" s="24"/>
      <c r="O4" s="10" t="s">
        <v>7</v>
      </c>
      <c r="P4" s="10">
        <f>COUNTIF(D3:D26,O4)</f>
        <v>3</v>
      </c>
    </row>
    <row r="5" spans="1:21" x14ac:dyDescent="0.35">
      <c r="A5" s="4">
        <v>3</v>
      </c>
      <c r="B5" s="5">
        <v>40249</v>
      </c>
      <c r="C5" s="5" t="str">
        <f t="shared" si="0"/>
        <v>2010</v>
      </c>
      <c r="D5" s="4" t="s">
        <v>13</v>
      </c>
      <c r="E5" s="4">
        <v>56</v>
      </c>
      <c r="F5" s="6">
        <v>12320</v>
      </c>
      <c r="H5" s="10" t="s">
        <v>13</v>
      </c>
      <c r="I5" s="6">
        <v>12320</v>
      </c>
      <c r="J5" s="11">
        <v>23100</v>
      </c>
      <c r="K5" s="12">
        <v>25520</v>
      </c>
      <c r="N5" s="24"/>
      <c r="O5" s="10" t="s">
        <v>15</v>
      </c>
      <c r="P5" s="10">
        <f>COUNTIF(D3:D26,O5)</f>
        <v>5</v>
      </c>
    </row>
    <row r="6" spans="1:21" x14ac:dyDescent="0.35">
      <c r="A6" s="4">
        <v>4</v>
      </c>
      <c r="B6" s="5">
        <v>40249</v>
      </c>
      <c r="C6" s="5" t="str">
        <f t="shared" si="0"/>
        <v>2010</v>
      </c>
      <c r="D6" s="4" t="s">
        <v>15</v>
      </c>
      <c r="E6" s="4">
        <v>48</v>
      </c>
      <c r="F6" s="6">
        <v>10560</v>
      </c>
      <c r="H6" s="10" t="s">
        <v>7</v>
      </c>
      <c r="I6" s="6">
        <v>16720</v>
      </c>
      <c r="J6" s="6">
        <v>6160</v>
      </c>
      <c r="K6" s="13">
        <v>7920</v>
      </c>
      <c r="N6" s="24"/>
      <c r="O6" s="10" t="s">
        <v>18</v>
      </c>
      <c r="P6" s="10">
        <f>COUNTIF(D3:D26,O6)</f>
        <v>3</v>
      </c>
    </row>
    <row r="7" spans="1:21" x14ac:dyDescent="0.35">
      <c r="A7" s="4">
        <v>5</v>
      </c>
      <c r="B7" s="5">
        <v>40418</v>
      </c>
      <c r="C7" s="5" t="str">
        <f t="shared" si="0"/>
        <v>2010</v>
      </c>
      <c r="D7" s="4" t="s">
        <v>11</v>
      </c>
      <c r="E7" s="4">
        <v>40</v>
      </c>
      <c r="F7" s="6">
        <v>8800</v>
      </c>
      <c r="H7" s="10" t="s">
        <v>15</v>
      </c>
      <c r="I7" s="11">
        <v>26840</v>
      </c>
      <c r="J7" s="12">
        <v>0</v>
      </c>
      <c r="K7" s="12">
        <v>15840</v>
      </c>
      <c r="N7" s="24"/>
      <c r="O7" s="10" t="s">
        <v>11</v>
      </c>
      <c r="P7" s="10">
        <f>COUNTIF(D3:D26,O7)</f>
        <v>7</v>
      </c>
    </row>
    <row r="8" spans="1:21" x14ac:dyDescent="0.35">
      <c r="A8" s="4">
        <v>6</v>
      </c>
      <c r="B8" s="5">
        <v>40418</v>
      </c>
      <c r="C8" s="5" t="str">
        <f t="shared" si="0"/>
        <v>2010</v>
      </c>
      <c r="D8" s="4" t="s">
        <v>18</v>
      </c>
      <c r="E8" s="4">
        <v>90</v>
      </c>
      <c r="F8" s="6">
        <v>19800</v>
      </c>
      <c r="H8" s="10" t="s">
        <v>18</v>
      </c>
      <c r="I8" s="6">
        <v>19800</v>
      </c>
      <c r="J8" s="6">
        <v>20900</v>
      </c>
      <c r="K8" s="13">
        <v>11440</v>
      </c>
    </row>
    <row r="9" spans="1:21" x14ac:dyDescent="0.35">
      <c r="A9" s="4">
        <v>7</v>
      </c>
      <c r="B9" s="5">
        <v>40464</v>
      </c>
      <c r="C9" s="5" t="str">
        <f t="shared" si="0"/>
        <v>2010</v>
      </c>
      <c r="D9" s="4" t="s">
        <v>15</v>
      </c>
      <c r="E9" s="4">
        <v>24</v>
      </c>
      <c r="F9" s="6">
        <v>5280</v>
      </c>
      <c r="H9" s="10" t="s">
        <v>11</v>
      </c>
      <c r="I9" s="12">
        <v>29040</v>
      </c>
      <c r="J9" s="12">
        <v>33440</v>
      </c>
      <c r="K9" s="12">
        <v>20240</v>
      </c>
    </row>
    <row r="10" spans="1:21" x14ac:dyDescent="0.35">
      <c r="A10" s="4">
        <v>8</v>
      </c>
      <c r="B10" s="5">
        <v>40505</v>
      </c>
      <c r="C10" s="5" t="str">
        <f t="shared" si="0"/>
        <v>2010</v>
      </c>
      <c r="D10" s="4" t="s">
        <v>15</v>
      </c>
      <c r="E10" s="4">
        <v>50</v>
      </c>
      <c r="F10" s="6">
        <v>11000</v>
      </c>
    </row>
    <row r="11" spans="1:21" x14ac:dyDescent="0.35">
      <c r="A11" s="4">
        <v>9</v>
      </c>
      <c r="B11" s="5">
        <v>40505</v>
      </c>
      <c r="C11" s="5" t="str">
        <f t="shared" si="0"/>
        <v>2010</v>
      </c>
      <c r="D11" s="4" t="s">
        <v>11</v>
      </c>
      <c r="E11" s="4">
        <v>33</v>
      </c>
      <c r="F11" s="6">
        <v>7260</v>
      </c>
    </row>
    <row r="12" spans="1:21" x14ac:dyDescent="0.35">
      <c r="A12" s="4">
        <v>10</v>
      </c>
      <c r="B12" s="5">
        <v>40611</v>
      </c>
      <c r="C12" s="5" t="str">
        <f t="shared" si="0"/>
        <v>2011</v>
      </c>
      <c r="D12" s="4" t="s">
        <v>18</v>
      </c>
      <c r="E12" s="4">
        <v>95</v>
      </c>
      <c r="F12" s="6">
        <v>20900</v>
      </c>
    </row>
    <row r="13" spans="1:21" ht="15.5" x14ac:dyDescent="0.35">
      <c r="A13" s="4">
        <v>11</v>
      </c>
      <c r="B13" s="5">
        <v>40626</v>
      </c>
      <c r="C13" s="5" t="str">
        <f t="shared" si="0"/>
        <v>2011</v>
      </c>
      <c r="D13" s="4" t="s">
        <v>13</v>
      </c>
      <c r="E13" s="4">
        <v>57</v>
      </c>
      <c r="F13" s="6">
        <v>12540</v>
      </c>
      <c r="L13" s="8"/>
      <c r="M13" s="8" t="s">
        <v>9</v>
      </c>
      <c r="N13" s="8" t="s">
        <v>10</v>
      </c>
      <c r="O13" s="8" t="s">
        <v>6</v>
      </c>
    </row>
    <row r="14" spans="1:21" x14ac:dyDescent="0.35">
      <c r="A14" s="4">
        <v>12</v>
      </c>
      <c r="B14" s="5">
        <v>40693</v>
      </c>
      <c r="C14" s="5" t="str">
        <f t="shared" si="0"/>
        <v>2011</v>
      </c>
      <c r="D14" s="4" t="s">
        <v>13</v>
      </c>
      <c r="E14" s="4">
        <v>48</v>
      </c>
      <c r="F14" s="6">
        <v>10560</v>
      </c>
      <c r="H14" s="30" t="s">
        <v>8</v>
      </c>
      <c r="I14" s="30"/>
      <c r="J14" s="30"/>
      <c r="L14" s="24" t="s">
        <v>23</v>
      </c>
      <c r="M14" s="10" t="s">
        <v>13</v>
      </c>
      <c r="N14" s="10">
        <f>SUMIF(D2:$D$26,M14,$E2:E$26)</f>
        <v>277</v>
      </c>
      <c r="O14" s="15">
        <f ca="1">SUMIF(D2:D25,M14,F2:F24)</f>
        <v>60940</v>
      </c>
    </row>
    <row r="15" spans="1:21" ht="15.5" x14ac:dyDescent="0.35">
      <c r="A15" s="4">
        <v>13</v>
      </c>
      <c r="B15" s="5">
        <v>40711</v>
      </c>
      <c r="C15" s="5" t="str">
        <f t="shared" si="0"/>
        <v>2011</v>
      </c>
      <c r="D15" s="4" t="s">
        <v>11</v>
      </c>
      <c r="E15" s="4">
        <v>88</v>
      </c>
      <c r="F15" s="6">
        <v>19360</v>
      </c>
      <c r="H15" s="14"/>
      <c r="I15" s="14" t="s">
        <v>10</v>
      </c>
      <c r="J15" s="14" t="s">
        <v>6</v>
      </c>
      <c r="L15" s="24"/>
      <c r="M15" s="10" t="s">
        <v>7</v>
      </c>
      <c r="N15" s="10">
        <f>SUMIF(D2:D25,M15,E2:E25)</f>
        <v>140</v>
      </c>
      <c r="O15" s="15">
        <f>SUMIF(D2:D25,M15,F2:F25)</f>
        <v>30800</v>
      </c>
      <c r="R15" s="25" t="s">
        <v>22</v>
      </c>
      <c r="S15" s="26"/>
      <c r="T15" s="26"/>
      <c r="U15" s="27"/>
    </row>
    <row r="16" spans="1:21" ht="15.5" x14ac:dyDescent="0.35">
      <c r="A16" s="4">
        <v>14</v>
      </c>
      <c r="B16" s="5">
        <v>40711</v>
      </c>
      <c r="C16" s="5" t="str">
        <f t="shared" si="0"/>
        <v>2011</v>
      </c>
      <c r="D16" s="4" t="s">
        <v>7</v>
      </c>
      <c r="E16" s="4">
        <v>28</v>
      </c>
      <c r="F16" s="6">
        <v>6160</v>
      </c>
      <c r="H16" s="10" t="s">
        <v>14</v>
      </c>
      <c r="I16" s="10">
        <f>SUM(E3:E26)</f>
        <v>1224</v>
      </c>
      <c r="J16" s="11">
        <v>269280</v>
      </c>
      <c r="L16" s="24"/>
      <c r="M16" s="10" t="s">
        <v>15</v>
      </c>
      <c r="N16" s="10">
        <f>SUMIF(D2:D25,M16,E2:E25)</f>
        <v>194</v>
      </c>
      <c r="O16" s="15">
        <f>SUMIF(D2:D25,M16,F2:F25)</f>
        <v>42680</v>
      </c>
      <c r="R16" s="8" t="s">
        <v>4</v>
      </c>
      <c r="S16" s="7">
        <v>2010</v>
      </c>
      <c r="T16" s="7">
        <v>2011</v>
      </c>
      <c r="U16" s="7">
        <v>2012</v>
      </c>
    </row>
    <row r="17" spans="1:22" x14ac:dyDescent="0.35">
      <c r="A17" s="4">
        <v>15</v>
      </c>
      <c r="B17" s="5">
        <v>40734</v>
      </c>
      <c r="C17" s="5" t="str">
        <f t="shared" si="0"/>
        <v>2011</v>
      </c>
      <c r="D17" s="4" t="s">
        <v>11</v>
      </c>
      <c r="E17" s="4">
        <v>64</v>
      </c>
      <c r="F17" s="6">
        <v>14080</v>
      </c>
      <c r="H17" s="10" t="s">
        <v>16</v>
      </c>
      <c r="I17" s="10">
        <f>MIN(E3:E26)</f>
        <v>24</v>
      </c>
      <c r="J17" s="11">
        <f>MIN(F3:F26)</f>
        <v>5280</v>
      </c>
      <c r="L17" s="24"/>
      <c r="M17" s="10" t="s">
        <v>18</v>
      </c>
      <c r="N17" s="10">
        <f>SUMIF(D2:D25,M17,E2:E25)</f>
        <v>237</v>
      </c>
      <c r="O17" s="15">
        <f>SUMIF(D2:D25,M17,F2:F25)</f>
        <v>52140</v>
      </c>
      <c r="R17" s="10" t="s">
        <v>13</v>
      </c>
      <c r="S17" s="16">
        <v>56</v>
      </c>
      <c r="T17" s="16">
        <v>105</v>
      </c>
      <c r="U17" s="16">
        <v>116</v>
      </c>
    </row>
    <row r="18" spans="1:22" x14ac:dyDescent="0.35">
      <c r="A18" s="4">
        <v>16</v>
      </c>
      <c r="B18" s="5">
        <v>40953</v>
      </c>
      <c r="C18" s="5" t="str">
        <f t="shared" si="0"/>
        <v>2012</v>
      </c>
      <c r="D18" s="4" t="s">
        <v>13</v>
      </c>
      <c r="E18" s="4">
        <v>51</v>
      </c>
      <c r="F18" s="6">
        <v>11220</v>
      </c>
      <c r="H18" s="10" t="s">
        <v>17</v>
      </c>
      <c r="I18" s="10">
        <f>MAX(E3:E26)</f>
        <v>95</v>
      </c>
      <c r="J18" s="11">
        <f>MAX(F3:F26)</f>
        <v>20900</v>
      </c>
      <c r="L18" s="24"/>
      <c r="M18" s="10" t="s">
        <v>11</v>
      </c>
      <c r="N18" s="10">
        <f>SUMIF(D2:D25,M18,E2:E25)</f>
        <v>316</v>
      </c>
      <c r="O18" s="15">
        <f>SUMIF(D3:D26,M18,F3:F26)</f>
        <v>82720</v>
      </c>
      <c r="R18" s="10" t="s">
        <v>7</v>
      </c>
      <c r="S18" s="16">
        <v>76</v>
      </c>
      <c r="T18" s="16">
        <v>28</v>
      </c>
      <c r="U18" s="16">
        <v>36</v>
      </c>
    </row>
    <row r="19" spans="1:22" x14ac:dyDescent="0.35">
      <c r="A19" s="4">
        <v>17</v>
      </c>
      <c r="B19" s="5">
        <v>40953</v>
      </c>
      <c r="C19" s="5" t="str">
        <f t="shared" si="0"/>
        <v>2012</v>
      </c>
      <c r="D19" s="4" t="s">
        <v>15</v>
      </c>
      <c r="E19" s="4">
        <v>25</v>
      </c>
      <c r="F19" s="6">
        <v>5500</v>
      </c>
      <c r="H19" s="10" t="s">
        <v>19</v>
      </c>
      <c r="I19" s="10">
        <f>AVERAGE(E3:E26)</f>
        <v>51</v>
      </c>
      <c r="J19" s="11">
        <f>AVERAGE(F3:F26)</f>
        <v>11220</v>
      </c>
      <c r="N19" s="20"/>
      <c r="O19" s="20"/>
      <c r="R19" s="10" t="s">
        <v>15</v>
      </c>
      <c r="S19" s="16">
        <v>122</v>
      </c>
      <c r="T19" s="12">
        <v>0</v>
      </c>
      <c r="U19" s="16">
        <v>72</v>
      </c>
    </row>
    <row r="20" spans="1:22" x14ac:dyDescent="0.35">
      <c r="A20" s="4">
        <v>18</v>
      </c>
      <c r="B20" s="5">
        <v>41014</v>
      </c>
      <c r="C20" s="5" t="str">
        <f t="shared" si="0"/>
        <v>2012</v>
      </c>
      <c r="D20" s="4" t="s">
        <v>11</v>
      </c>
      <c r="E20" s="4">
        <v>32</v>
      </c>
      <c r="F20" s="6">
        <v>7040</v>
      </c>
      <c r="H20" s="10" t="s">
        <v>20</v>
      </c>
      <c r="I20" s="10">
        <f>COUNT(E3:E26)</f>
        <v>24</v>
      </c>
      <c r="J20" s="10">
        <f>COUNT(F3:F26)</f>
        <v>24</v>
      </c>
      <c r="L20" s="20"/>
      <c r="M20" s="20"/>
      <c r="R20" s="10" t="s">
        <v>18</v>
      </c>
      <c r="S20" s="16">
        <v>90</v>
      </c>
      <c r="T20" s="16">
        <v>95</v>
      </c>
      <c r="U20" s="16">
        <v>52</v>
      </c>
    </row>
    <row r="21" spans="1:22" x14ac:dyDescent="0.35">
      <c r="A21" s="4">
        <v>19</v>
      </c>
      <c r="B21" s="5">
        <v>41014</v>
      </c>
      <c r="C21" s="5" t="str">
        <f t="shared" si="0"/>
        <v>2012</v>
      </c>
      <c r="D21" s="4" t="s">
        <v>13</v>
      </c>
      <c r="E21" s="4">
        <v>24</v>
      </c>
      <c r="F21" s="6">
        <v>5280</v>
      </c>
      <c r="H21" s="10" t="s">
        <v>21</v>
      </c>
      <c r="I21" s="10">
        <f>COUNTA(E3:E26)</f>
        <v>24</v>
      </c>
      <c r="J21" s="10">
        <f>COUNTA(F3:F26)</f>
        <v>24</v>
      </c>
      <c r="P21" s="20"/>
      <c r="R21" s="10" t="s">
        <v>11</v>
      </c>
      <c r="S21" s="16">
        <v>132</v>
      </c>
      <c r="T21" s="16">
        <v>152</v>
      </c>
      <c r="U21" s="16">
        <v>92</v>
      </c>
    </row>
    <row r="22" spans="1:22" x14ac:dyDescent="0.35">
      <c r="A22" s="17">
        <v>20</v>
      </c>
      <c r="B22" s="18">
        <v>41068</v>
      </c>
      <c r="C22" s="18" t="str">
        <f t="shared" si="0"/>
        <v>2012</v>
      </c>
      <c r="D22" s="17" t="s">
        <v>15</v>
      </c>
      <c r="E22" s="17">
        <v>47</v>
      </c>
      <c r="F22" s="19">
        <v>10340</v>
      </c>
      <c r="G22" s="20"/>
      <c r="H22" s="20"/>
      <c r="I22" s="20"/>
      <c r="J22" s="20"/>
      <c r="K22" s="20"/>
      <c r="Q22" s="20"/>
      <c r="R22" s="21" t="s">
        <v>25</v>
      </c>
      <c r="S22" s="22">
        <f>SUM(S17:S21)</f>
        <v>476</v>
      </c>
      <c r="T22" s="22">
        <f>SUM(T17:T21)</f>
        <v>380</v>
      </c>
      <c r="U22" s="22">
        <f>SUM(U17:U21)</f>
        <v>368</v>
      </c>
      <c r="V22" s="20"/>
    </row>
    <row r="23" spans="1:22" x14ac:dyDescent="0.35">
      <c r="A23" s="4">
        <v>21</v>
      </c>
      <c r="B23" s="5">
        <v>41068</v>
      </c>
      <c r="C23" s="5" t="str">
        <f t="shared" si="0"/>
        <v>2012</v>
      </c>
      <c r="D23" s="4" t="s">
        <v>13</v>
      </c>
      <c r="E23" s="4">
        <v>41</v>
      </c>
      <c r="F23" s="6">
        <v>9020</v>
      </c>
    </row>
    <row r="24" spans="1:22" x14ac:dyDescent="0.35">
      <c r="A24" s="4">
        <v>22</v>
      </c>
      <c r="B24" s="5">
        <v>41125</v>
      </c>
      <c r="C24" s="5" t="str">
        <f t="shared" si="0"/>
        <v>2012</v>
      </c>
      <c r="D24" s="4" t="s">
        <v>18</v>
      </c>
      <c r="E24" s="4">
        <v>52</v>
      </c>
      <c r="F24" s="6">
        <v>11440</v>
      </c>
    </row>
    <row r="25" spans="1:22" x14ac:dyDescent="0.35">
      <c r="A25" s="4">
        <v>23</v>
      </c>
      <c r="B25" s="5">
        <v>41183</v>
      </c>
      <c r="C25" s="5" t="str">
        <f t="shared" si="0"/>
        <v>2012</v>
      </c>
      <c r="D25" s="4" t="s">
        <v>7</v>
      </c>
      <c r="E25" s="4">
        <v>36</v>
      </c>
      <c r="F25" s="6">
        <v>7920</v>
      </c>
    </row>
    <row r="26" spans="1:22" x14ac:dyDescent="0.35">
      <c r="A26" s="4">
        <v>24</v>
      </c>
      <c r="B26" s="5">
        <v>41183</v>
      </c>
      <c r="C26" s="5" t="str">
        <f t="shared" si="0"/>
        <v>2012</v>
      </c>
      <c r="D26" s="4" t="s">
        <v>11</v>
      </c>
      <c r="E26" s="4">
        <v>60</v>
      </c>
      <c r="F26" s="6">
        <v>13200</v>
      </c>
    </row>
    <row r="27" spans="1:22" x14ac:dyDescent="0.35">
      <c r="A27" s="10"/>
      <c r="B27" s="21" t="s">
        <v>25</v>
      </c>
      <c r="C27" s="21"/>
      <c r="D27" s="21"/>
      <c r="E27" s="21">
        <f>SUM(E3:E26)</f>
        <v>1224</v>
      </c>
      <c r="F27" s="23">
        <f>SUM(F3:F26)</f>
        <v>269280</v>
      </c>
    </row>
  </sheetData>
  <autoFilter ref="A2:F2" xr:uid="{00000000-0001-0000-0000-000000000000}"/>
  <mergeCells count="6">
    <mergeCell ref="L14:L18"/>
    <mergeCell ref="R15:U15"/>
    <mergeCell ref="I3:K3"/>
    <mergeCell ref="A1:F1"/>
    <mergeCell ref="H14:J14"/>
    <mergeCell ref="N3:N7"/>
  </mergeCells>
  <conditionalFormatting sqref="F3:F26">
    <cfRule type="cellIs" dxfId="6" priority="7" operator="lessThan">
      <formula>6000</formula>
    </cfRule>
    <cfRule type="cellIs" dxfId="5" priority="8" operator="greaterThan">
      <formula>15000</formula>
    </cfRule>
  </conditionalFormatting>
  <conditionalFormatting sqref="I5:K9">
    <cfRule type="cellIs" dxfId="4" priority="4" operator="lessThan">
      <formula>5000</formula>
    </cfRule>
    <cfRule type="cellIs" dxfId="3" priority="5" operator="greaterThan">
      <formula>15000</formula>
    </cfRule>
    <cfRule type="cellIs" dxfId="2" priority="6" operator="greaterThan">
      <formula>15000</formula>
    </cfRule>
  </conditionalFormatting>
  <conditionalFormatting sqref="J16:J21">
    <cfRule type="cellIs" dxfId="1" priority="3" operator="greaterThan">
      <formula>15000</formula>
    </cfRule>
  </conditionalFormatting>
  <conditionalFormatting sqref="O14:O18">
    <cfRule type="cellIs" dxfId="0" priority="1" operator="greaterThan">
      <formula>1500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Henry Okolo</cp:lastModifiedBy>
  <dcterms:created xsi:type="dcterms:W3CDTF">2024-05-08T21:08:42Z</dcterms:created>
  <dcterms:modified xsi:type="dcterms:W3CDTF">2026-05-03T22:36:26Z</dcterms:modified>
</cp:coreProperties>
</file>